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Staffing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Required vs Available FTE (weekly avg)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'Summary'!$A$9:$A$15</f>
            </numRef>
          </cat>
          <val>
            <numRef>
              <f>'Summary'!$C$9:$C$15</f>
            </numRef>
          </val>
        </ser>
        <ser>
          <idx val="1"/>
          <order val="1"/>
          <tx>
            <strRef>
              <f>'Summary'!D8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'Summary'!$A$9:$A$15</f>
            </numRef>
          </cat>
          <val>
            <numRef>
              <f>'Summary'!$D$9:$D$15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Staffing Gap (weekly avg FTE, positive = short-staffed)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'Summary'!$A$9:$A$15</f>
            </numRef>
          </cat>
          <val>
            <numRef>
              <f>'Summary'!$E$9:$E$15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Gap (FTE)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Forecast Volume vs Required FTE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'Summary'!$A$20:$A$22</f>
            </numRef>
          </cat>
          <val>
            <numRef>
              <f>'Summary'!$B$20:$B$22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'Summary'!C19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'Summary'!$C$20:$C$22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Forecast Volume</a:t>
                </a:r>
              </a:p>
            </rich>
          </tx>
        </title>
        <majorTickMark val="none"/>
        <minorTickMark val="none"/>
        <crossAx val="10"/>
        <crosses val="autoZero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Required FTE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37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forecast_volume</t>
        </is>
      </c>
      <c r="C1" t="inlineStr">
        <is>
          <t>required_fte</t>
        </is>
      </c>
      <c r="D1" t="inlineStr">
        <is>
          <t>available_fte</t>
        </is>
      </c>
      <c r="E1" t="inlineStr">
        <is>
          <t>staffing_gap_fte</t>
        </is>
      </c>
    </row>
    <row r="2">
      <c r="A2" s="2" t="n">
        <v>46322</v>
      </c>
      <c r="B2" t="n">
        <v>1864</v>
      </c>
      <c r="C2" t="n">
        <v>28.4</v>
      </c>
      <c r="D2" t="n">
        <v>25</v>
      </c>
      <c r="E2" t="n">
        <v>3.4</v>
      </c>
    </row>
    <row r="3">
      <c r="A3" s="2" t="n">
        <v>46323</v>
      </c>
      <c r="B3" t="n">
        <v>1880</v>
      </c>
      <c r="C3" t="n">
        <v>28.6</v>
      </c>
      <c r="D3" t="n">
        <v>25</v>
      </c>
      <c r="E3" t="n">
        <v>3.6</v>
      </c>
    </row>
    <row r="4">
      <c r="A4" s="2" t="n">
        <v>46324</v>
      </c>
      <c r="B4" t="n">
        <v>1872</v>
      </c>
      <c r="C4" t="n">
        <v>28.5</v>
      </c>
      <c r="D4" t="n">
        <v>25</v>
      </c>
      <c r="E4" t="n">
        <v>3.5</v>
      </c>
    </row>
    <row r="5">
      <c r="A5" s="2" t="n">
        <v>46325</v>
      </c>
      <c r="B5" t="n">
        <v>1821</v>
      </c>
      <c r="C5" t="n">
        <v>27.7</v>
      </c>
      <c r="D5" t="n">
        <v>25</v>
      </c>
      <c r="E5" t="n">
        <v>2.7</v>
      </c>
    </row>
    <row r="6">
      <c r="A6" s="2" t="n">
        <v>46326</v>
      </c>
      <c r="B6" t="n">
        <v>1873</v>
      </c>
      <c r="C6" t="n">
        <v>28.5</v>
      </c>
      <c r="D6" t="n">
        <v>25</v>
      </c>
      <c r="E6" t="n">
        <v>3.5</v>
      </c>
    </row>
    <row r="7">
      <c r="A7" s="2" t="n">
        <v>46327</v>
      </c>
      <c r="B7" t="n">
        <v>1560</v>
      </c>
      <c r="C7" t="n">
        <v>23.7</v>
      </c>
      <c r="D7" t="n">
        <v>25</v>
      </c>
      <c r="E7" t="n">
        <v>-1.3</v>
      </c>
    </row>
    <row r="8">
      <c r="A8" s="2" t="n">
        <v>46328</v>
      </c>
      <c r="B8" t="n">
        <v>1763</v>
      </c>
      <c r="C8" t="n">
        <v>26.8</v>
      </c>
      <c r="D8" t="n">
        <v>25</v>
      </c>
      <c r="E8" t="n">
        <v>1.8</v>
      </c>
    </row>
    <row r="9">
      <c r="A9" s="2" t="n">
        <v>46329</v>
      </c>
      <c r="B9" t="n">
        <v>1865</v>
      </c>
      <c r="C9" t="n">
        <v>28.4</v>
      </c>
      <c r="D9" t="n">
        <v>25</v>
      </c>
      <c r="E9" t="n">
        <v>3.4</v>
      </c>
    </row>
    <row r="10">
      <c r="A10" s="2" t="n">
        <v>46330</v>
      </c>
      <c r="B10" t="n">
        <v>1881</v>
      </c>
      <c r="C10" t="n">
        <v>28.6</v>
      </c>
      <c r="D10" t="n">
        <v>25</v>
      </c>
      <c r="E10" t="n">
        <v>3.6</v>
      </c>
    </row>
    <row r="11">
      <c r="A11" s="2" t="n">
        <v>46331</v>
      </c>
      <c r="B11" t="n">
        <v>1873</v>
      </c>
      <c r="C11" t="n">
        <v>28.5</v>
      </c>
      <c r="D11" t="n">
        <v>25</v>
      </c>
      <c r="E11" t="n">
        <v>3.5</v>
      </c>
    </row>
    <row r="12">
      <c r="A12" s="2" t="n">
        <v>46332</v>
      </c>
      <c r="B12" t="n">
        <v>1822</v>
      </c>
      <c r="C12" t="n">
        <v>27.7</v>
      </c>
      <c r="D12" t="n">
        <v>25</v>
      </c>
      <c r="E12" t="n">
        <v>2.7</v>
      </c>
    </row>
    <row r="13">
      <c r="A13" s="2" t="n">
        <v>46333</v>
      </c>
      <c r="B13" t="n">
        <v>1874</v>
      </c>
      <c r="C13" t="n">
        <v>28.5</v>
      </c>
      <c r="D13" t="n">
        <v>25</v>
      </c>
      <c r="E13" t="n">
        <v>3.5</v>
      </c>
    </row>
    <row r="14">
      <c r="A14" s="2" t="n">
        <v>46334</v>
      </c>
      <c r="B14" t="n">
        <v>1561</v>
      </c>
      <c r="C14" t="n">
        <v>23.8</v>
      </c>
      <c r="D14" t="n">
        <v>25</v>
      </c>
      <c r="E14" t="n">
        <v>-1.2</v>
      </c>
    </row>
    <row r="15">
      <c r="A15" s="2" t="n">
        <v>46335</v>
      </c>
      <c r="B15" t="n">
        <v>1764</v>
      </c>
      <c r="C15" t="n">
        <v>26.8</v>
      </c>
      <c r="D15" t="n">
        <v>25</v>
      </c>
      <c r="E15" t="n">
        <v>1.8</v>
      </c>
    </row>
    <row r="16">
      <c r="A16" s="2" t="n">
        <v>46336</v>
      </c>
      <c r="B16" t="n">
        <v>1866</v>
      </c>
      <c r="C16" t="n">
        <v>28.4</v>
      </c>
      <c r="D16" t="n">
        <v>25</v>
      </c>
      <c r="E16" t="n">
        <v>3.4</v>
      </c>
    </row>
    <row r="17">
      <c r="A17" s="2" t="n">
        <v>46337</v>
      </c>
      <c r="B17" t="n">
        <v>1882</v>
      </c>
      <c r="C17" t="n">
        <v>28.6</v>
      </c>
      <c r="D17" t="n">
        <v>25</v>
      </c>
      <c r="E17" t="n">
        <v>3.6</v>
      </c>
    </row>
    <row r="18">
      <c r="A18" s="2" t="n">
        <v>46338</v>
      </c>
      <c r="B18" t="n">
        <v>1874</v>
      </c>
      <c r="C18" t="n">
        <v>28.5</v>
      </c>
      <c r="D18" t="n">
        <v>25</v>
      </c>
      <c r="E18" t="n">
        <v>3.5</v>
      </c>
    </row>
    <row r="19">
      <c r="A19" s="2" t="n">
        <v>46339</v>
      </c>
      <c r="B19" t="n">
        <v>1823</v>
      </c>
      <c r="C19" t="n">
        <v>27.7</v>
      </c>
      <c r="D19" t="n">
        <v>25</v>
      </c>
      <c r="E19" t="n">
        <v>2.7</v>
      </c>
    </row>
    <row r="20">
      <c r="A20" s="2" t="n">
        <v>46340</v>
      </c>
      <c r="B20" t="n">
        <v>1875</v>
      </c>
      <c r="C20" t="n">
        <v>28.5</v>
      </c>
      <c r="D20" t="n">
        <v>25</v>
      </c>
      <c r="E20" t="n">
        <v>3.5</v>
      </c>
    </row>
    <row r="21">
      <c r="A21" s="2" t="n">
        <v>46341</v>
      </c>
      <c r="B21" t="n">
        <v>1562</v>
      </c>
      <c r="C21" t="n">
        <v>23.8</v>
      </c>
      <c r="D21" t="n">
        <v>25</v>
      </c>
      <c r="E21" t="n">
        <v>-1.2</v>
      </c>
    </row>
    <row r="22">
      <c r="A22" s="2" t="n">
        <v>46342</v>
      </c>
      <c r="B22" t="n">
        <v>1765</v>
      </c>
      <c r="C22" t="n">
        <v>26.9</v>
      </c>
      <c r="D22" t="n">
        <v>25</v>
      </c>
      <c r="E22" t="n">
        <v>1.9</v>
      </c>
    </row>
    <row r="23">
      <c r="A23" s="2" t="n">
        <v>46343</v>
      </c>
      <c r="B23" t="n">
        <v>1867</v>
      </c>
      <c r="C23" t="n">
        <v>28.4</v>
      </c>
      <c r="D23" t="n">
        <v>25</v>
      </c>
      <c r="E23" t="n">
        <v>3.4</v>
      </c>
    </row>
    <row r="24">
      <c r="A24" s="2" t="n">
        <v>46344</v>
      </c>
      <c r="B24" t="n">
        <v>1883</v>
      </c>
      <c r="C24" t="n">
        <v>28.7</v>
      </c>
      <c r="D24" t="n">
        <v>25</v>
      </c>
      <c r="E24" t="n">
        <v>3.7</v>
      </c>
    </row>
    <row r="25">
      <c r="A25" s="2" t="n">
        <v>46345</v>
      </c>
      <c r="B25" t="n">
        <v>1875</v>
      </c>
      <c r="C25" t="n">
        <v>28.6</v>
      </c>
      <c r="D25" t="n">
        <v>25</v>
      </c>
      <c r="E25" t="n">
        <v>3.6</v>
      </c>
    </row>
    <row r="26">
      <c r="A26" s="2" t="n">
        <v>46346</v>
      </c>
      <c r="B26" t="n">
        <v>1824</v>
      </c>
      <c r="C26" t="n">
        <v>27.8</v>
      </c>
      <c r="D26" t="n">
        <v>25</v>
      </c>
      <c r="E26" t="n">
        <v>2.8</v>
      </c>
    </row>
    <row r="27">
      <c r="A27" s="2" t="n">
        <v>46347</v>
      </c>
      <c r="B27" t="n">
        <v>1876</v>
      </c>
      <c r="C27" t="n">
        <v>28.6</v>
      </c>
      <c r="D27" t="n">
        <v>25</v>
      </c>
      <c r="E27" t="n">
        <v>3.6</v>
      </c>
    </row>
    <row r="28">
      <c r="A28" s="2" t="n">
        <v>46348</v>
      </c>
      <c r="B28" t="n">
        <v>1563</v>
      </c>
      <c r="C28" t="n">
        <v>23.8</v>
      </c>
      <c r="D28" t="n">
        <v>25</v>
      </c>
      <c r="E28" t="n">
        <v>-1.2</v>
      </c>
    </row>
    <row r="29">
      <c r="A29" s="2" t="n">
        <v>46349</v>
      </c>
      <c r="B29" t="n">
        <v>1766</v>
      </c>
      <c r="C29" t="n">
        <v>26.9</v>
      </c>
      <c r="D29" t="n">
        <v>25</v>
      </c>
      <c r="E29" t="n">
        <v>1.9</v>
      </c>
    </row>
    <row r="30">
      <c r="A30" s="2" t="n">
        <v>46350</v>
      </c>
      <c r="B30" t="n">
        <v>1868</v>
      </c>
      <c r="C30" t="n">
        <v>28.4</v>
      </c>
      <c r="D30" t="n">
        <v>25</v>
      </c>
      <c r="E30" t="n">
        <v>3.4</v>
      </c>
    </row>
    <row r="31">
      <c r="A31" s="2" t="n">
        <v>46351</v>
      </c>
      <c r="B31" t="n">
        <v>1884</v>
      </c>
      <c r="C31" t="n">
        <v>28.7</v>
      </c>
      <c r="D31" t="n">
        <v>25</v>
      </c>
      <c r="E31" t="n">
        <v>3.7</v>
      </c>
    </row>
    <row r="32">
      <c r="A32" s="2" t="n">
        <v>46352</v>
      </c>
      <c r="B32" t="n">
        <v>1876</v>
      </c>
      <c r="C32" t="n">
        <v>28.6</v>
      </c>
      <c r="D32" t="n">
        <v>25</v>
      </c>
      <c r="E32" t="n">
        <v>3.6</v>
      </c>
    </row>
    <row r="33">
      <c r="A33" s="2" t="n">
        <v>46353</v>
      </c>
      <c r="B33" t="n">
        <v>1825</v>
      </c>
      <c r="C33" t="n">
        <v>27.8</v>
      </c>
      <c r="D33" t="n">
        <v>25</v>
      </c>
      <c r="E33" t="n">
        <v>2.8</v>
      </c>
    </row>
    <row r="34">
      <c r="A34" s="2" t="n">
        <v>46354</v>
      </c>
      <c r="B34" t="n">
        <v>1877</v>
      </c>
      <c r="C34" t="n">
        <v>28.6</v>
      </c>
      <c r="D34" t="n">
        <v>25</v>
      </c>
      <c r="E34" t="n">
        <v>3.6</v>
      </c>
    </row>
    <row r="35">
      <c r="A35" s="2" t="n">
        <v>46355</v>
      </c>
      <c r="B35" t="n">
        <v>1564</v>
      </c>
      <c r="C35" t="n">
        <v>23.8</v>
      </c>
      <c r="D35" t="n">
        <v>25</v>
      </c>
      <c r="E35" t="n">
        <v>-1.2</v>
      </c>
    </row>
    <row r="36">
      <c r="A36" s="2" t="n">
        <v>46356</v>
      </c>
      <c r="B36" t="n">
        <v>1767</v>
      </c>
      <c r="C36" t="n">
        <v>26.9</v>
      </c>
      <c r="D36" t="n">
        <v>25</v>
      </c>
      <c r="E36" t="n">
        <v>1.9</v>
      </c>
    </row>
    <row r="37">
      <c r="A37" s="2" t="n">
        <v>46357</v>
      </c>
      <c r="B37" t="n">
        <v>1869</v>
      </c>
      <c r="C37" t="n">
        <v>28.5</v>
      </c>
      <c r="D37" t="n">
        <v>25</v>
      </c>
      <c r="E37" t="n">
        <v>3.5</v>
      </c>
    </row>
    <row r="38">
      <c r="A38" s="2" t="n">
        <v>46358</v>
      </c>
      <c r="B38" t="n">
        <v>1885</v>
      </c>
      <c r="C38" t="n">
        <v>28.7</v>
      </c>
      <c r="D38" t="n">
        <v>25</v>
      </c>
      <c r="E38" t="n">
        <v>3.7</v>
      </c>
    </row>
    <row r="39">
      <c r="A39" s="2" t="n">
        <v>46359</v>
      </c>
      <c r="B39" t="n">
        <v>1877</v>
      </c>
      <c r="C39" t="n">
        <v>28.6</v>
      </c>
      <c r="D39" t="n">
        <v>25</v>
      </c>
      <c r="E39" t="n">
        <v>3.6</v>
      </c>
    </row>
    <row r="40">
      <c r="A40" s="2" t="n">
        <v>46360</v>
      </c>
      <c r="B40" t="n">
        <v>1826</v>
      </c>
      <c r="C40" t="n">
        <v>27.8</v>
      </c>
      <c r="D40" t="n">
        <v>25</v>
      </c>
      <c r="E40" t="n">
        <v>2.8</v>
      </c>
    </row>
    <row r="41">
      <c r="A41" s="2" t="n">
        <v>46361</v>
      </c>
      <c r="B41" t="n">
        <v>1878</v>
      </c>
      <c r="C41" t="n">
        <v>28.6</v>
      </c>
      <c r="D41" t="n">
        <v>25</v>
      </c>
      <c r="E41" t="n">
        <v>3.6</v>
      </c>
    </row>
    <row r="42">
      <c r="A42" s="2" t="n">
        <v>46362</v>
      </c>
      <c r="B42" t="n">
        <v>1565</v>
      </c>
      <c r="C42" t="n">
        <v>23.8</v>
      </c>
      <c r="D42" t="n">
        <v>25</v>
      </c>
      <c r="E42" t="n">
        <v>-1.2</v>
      </c>
    </row>
    <row r="43">
      <c r="A43" s="2" t="n">
        <v>46363</v>
      </c>
      <c r="B43" t="n">
        <v>1768</v>
      </c>
      <c r="C43" t="n">
        <v>26.9</v>
      </c>
      <c r="D43" t="n">
        <v>25</v>
      </c>
      <c r="E43" t="n">
        <v>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Model Accuracy Comparison</t>
        </is>
      </c>
    </row>
    <row r="2">
      <c r="A2" t="inlineStr">
        <is>
          <t>model</t>
        </is>
      </c>
      <c r="B2" t="inlineStr">
        <is>
          <t>holdout_mape_pct</t>
        </is>
      </c>
    </row>
    <row r="3">
      <c r="A3" t="inlineStr">
        <is>
          <t>Naive seasonal (baseline)</t>
        </is>
      </c>
      <c r="B3" t="n">
        <v>20.1</v>
      </c>
    </row>
    <row r="4">
      <c r="A4" t="inlineStr">
        <is>
          <t>Holt-Winters</t>
        </is>
      </c>
      <c r="B4" t="n">
        <v>18.8</v>
      </c>
    </row>
    <row r="7">
      <c r="A7" s="3" t="inlineStr">
        <is>
          <t>Weekly Rollup</t>
        </is>
      </c>
    </row>
    <row r="8">
      <c r="A8" t="inlineStr">
        <is>
          <t>period</t>
        </is>
      </c>
      <c r="B8" t="inlineStr">
        <is>
          <t>forecast_volume</t>
        </is>
      </c>
      <c r="C8" t="inlineStr">
        <is>
          <t>required_fte</t>
        </is>
      </c>
      <c r="D8" t="inlineStr">
        <is>
          <t>available_fte</t>
        </is>
      </c>
      <c r="E8" t="inlineStr">
        <is>
          <t>staffing_gap_fte</t>
        </is>
      </c>
    </row>
    <row r="9">
      <c r="A9" s="2" t="n">
        <v>46321</v>
      </c>
      <c r="B9" t="n">
        <v>1811.7</v>
      </c>
      <c r="C9" t="n">
        <v>27.6</v>
      </c>
      <c r="D9" t="n">
        <v>25</v>
      </c>
      <c r="E9" t="n">
        <v>2.6</v>
      </c>
    </row>
    <row r="10">
      <c r="A10" s="2" t="n">
        <v>46328</v>
      </c>
      <c r="B10" t="n">
        <v>1805.6</v>
      </c>
      <c r="C10" t="n">
        <v>27.5</v>
      </c>
      <c r="D10" t="n">
        <v>25</v>
      </c>
      <c r="E10" t="n">
        <v>2.5</v>
      </c>
    </row>
    <row r="11">
      <c r="A11" s="2" t="n">
        <v>46335</v>
      </c>
      <c r="B11" t="n">
        <v>1806.6</v>
      </c>
      <c r="C11" t="n">
        <v>27.5</v>
      </c>
      <c r="D11" t="n">
        <v>25</v>
      </c>
      <c r="E11" t="n">
        <v>2.5</v>
      </c>
    </row>
    <row r="12">
      <c r="A12" s="2" t="n">
        <v>46342</v>
      </c>
      <c r="B12" t="n">
        <v>1807.6</v>
      </c>
      <c r="C12" t="n">
        <v>27.5</v>
      </c>
      <c r="D12" t="n">
        <v>25</v>
      </c>
      <c r="E12" t="n">
        <v>2.5</v>
      </c>
    </row>
    <row r="13">
      <c r="A13" s="2" t="n">
        <v>46349</v>
      </c>
      <c r="B13" t="n">
        <v>1808.6</v>
      </c>
      <c r="C13" t="n">
        <v>27.5</v>
      </c>
      <c r="D13" t="n">
        <v>25</v>
      </c>
      <c r="E13" t="n">
        <v>2.5</v>
      </c>
    </row>
    <row r="14">
      <c r="A14" s="2" t="n">
        <v>46356</v>
      </c>
      <c r="B14" t="n">
        <v>1809.6</v>
      </c>
      <c r="C14" t="n">
        <v>27.6</v>
      </c>
      <c r="D14" t="n">
        <v>25</v>
      </c>
      <c r="E14" t="n">
        <v>2.6</v>
      </c>
    </row>
    <row r="15">
      <c r="A15" s="2" t="n">
        <v>46363</v>
      </c>
      <c r="B15" t="n">
        <v>1768</v>
      </c>
      <c r="C15" t="n">
        <v>26.9</v>
      </c>
      <c r="D15" t="n">
        <v>25</v>
      </c>
      <c r="E15" t="n">
        <v>1.9</v>
      </c>
    </row>
    <row r="18">
      <c r="A18" s="3" t="inlineStr">
        <is>
          <t>Monthly Rollup</t>
        </is>
      </c>
    </row>
    <row r="19">
      <c r="A19" t="inlineStr">
        <is>
          <t>period</t>
        </is>
      </c>
      <c r="B19" t="inlineStr">
        <is>
          <t>forecast_volume</t>
        </is>
      </c>
      <c r="C19" t="inlineStr">
        <is>
          <t>required_fte</t>
        </is>
      </c>
      <c r="D19" t="inlineStr">
        <is>
          <t>available_fte</t>
        </is>
      </c>
      <c r="E19" t="inlineStr">
        <is>
          <t>staffing_gap_fte</t>
        </is>
      </c>
    </row>
    <row r="20">
      <c r="A20" s="2" t="n">
        <v>46296</v>
      </c>
      <c r="B20" t="n">
        <v>1862</v>
      </c>
      <c r="C20" t="n">
        <v>28.3</v>
      </c>
      <c r="D20" t="n">
        <v>25</v>
      </c>
      <c r="E20" t="n">
        <v>3.3</v>
      </c>
    </row>
    <row r="21">
      <c r="A21" s="2" t="n">
        <v>46327</v>
      </c>
      <c r="B21" t="n">
        <v>1797.5</v>
      </c>
      <c r="C21" t="n">
        <v>27.4</v>
      </c>
      <c r="D21" t="n">
        <v>25</v>
      </c>
      <c r="E21" t="n">
        <v>2.4</v>
      </c>
    </row>
    <row r="22">
      <c r="A22" s="2" t="n">
        <v>46357</v>
      </c>
      <c r="B22" t="n">
        <v>1809.7</v>
      </c>
      <c r="C22" t="n">
        <v>27.6</v>
      </c>
      <c r="D22" t="n">
        <v>25</v>
      </c>
      <c r="E22" t="n">
        <v>2.6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2026-10-28T08:46:53Z</dcterms:created>
  <dcterms:modified xmlns:dcterms="http://purl.org/dc/terms/" xmlns:xsi="http://www.w3.org/2001/XMLSchema-instance" xsi:type="dcterms:W3CDTF">2026-10-28T08:46:53Z</dcterms:modified>
</cp:coreProperties>
</file>